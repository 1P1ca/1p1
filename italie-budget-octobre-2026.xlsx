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$#,##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9E2B25"/>
      <sz val="16"/>
    </font>
    <font>
      <name val="Arial"/>
      <i val="1"/>
      <color rgb="006B5B4C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9E2B25"/>
      <sz val="11"/>
    </font>
    <font>
      <name val="Arial"/>
      <i val="1"/>
      <color rgb="006B5B4C"/>
      <sz val="9"/>
    </font>
  </fonts>
  <fills count="5">
    <fill>
      <patternFill/>
    </fill>
    <fill>
      <patternFill patternType="gray125"/>
    </fill>
    <fill>
      <patternFill patternType="solid">
        <fgColor rgb="009E2B25"/>
      </patternFill>
    </fill>
    <fill>
      <patternFill patternType="solid">
        <fgColor rgb="00FFF2CC"/>
      </patternFill>
    </fill>
    <fill>
      <patternFill patternType="solid">
        <fgColor rgb="00EDE3CF"/>
      </patternFill>
    </fill>
  </fills>
  <borders count="3">
    <border>
      <left/>
      <right/>
      <top/>
      <bottom/>
      <diagonal/>
    </border>
    <border>
      <left style="thin">
        <color rgb="00D6C6A8"/>
      </left>
      <right style="thin">
        <color rgb="00D6C6A8"/>
      </right>
      <top style="thin">
        <color rgb="00D6C6A8"/>
      </top>
      <bottom style="thin">
        <color rgb="00D6C6A8"/>
      </bottom>
    </border>
    <border>
      <top style="thin">
        <color rgb="0022140F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3" borderId="1" pivotButton="0" quotePrefix="0" xfId="0"/>
    <xf numFmtId="2" fontId="5" fillId="3" borderId="1" pivotButton="0" quotePrefix="0" xfId="0"/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0" fontId="0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165" fontId="6" fillId="4" borderId="0" pivotButton="0" quotePrefix="0" xfId="0"/>
    <xf numFmtId="166" fontId="4" fillId="0" borderId="1" pivotButton="0" quotePrefix="0" xfId="0"/>
    <xf numFmtId="0" fontId="6" fillId="4" borderId="0" pivotButton="0" quotePrefix="0" xfId="0"/>
    <xf numFmtId="165" fontId="7" fillId="4" borderId="2" pivotButton="0" quotePrefix="0" xfId="0"/>
    <xf numFmtId="166" fontId="6" fillId="4" borderId="2" pivotButton="0" quotePrefix="0" xfId="0"/>
    <xf numFmtId="165" fontId="4" fillId="0" borderId="0" pivotButton="0" quotePrefix="0" xfId="0"/>
    <xf numFmtId="165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1+1</author>
  </authors>
  <commentList>
    <comment ref="B8" authorId="0" shapeId="0">
      <text>
        <t>Editable. Change the rate and every EUR conversion updates.</t>
      </text>
    </comment>
    <comment ref="C13" authorId="0" shapeId="0">
      <text>
        <t>Chianti entered directly in CAD (estimate — replace with the real invoice total).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>
      <c r="A1" s="1" t="inlineStr">
        <is>
          <t>Italy · October 2026 — Budget</t>
        </is>
      </c>
    </row>
    <row r="2">
      <c r="A2" s="2" t="inlineStr">
        <is>
          <t>Couple · CAD · target excludes flights</t>
        </is>
      </c>
    </row>
    <row r="4">
      <c r="A4" s="3" t="inlineStr">
        <is>
          <t>Assumptions</t>
        </is>
      </c>
    </row>
    <row r="5">
      <c r="A5" s="4" t="inlineStr">
        <is>
          <t>Travelers</t>
        </is>
      </c>
      <c r="B5" s="5" t="n">
        <v>2</v>
      </c>
    </row>
    <row r="6">
      <c r="A6" s="4" t="inlineStr">
        <is>
          <t>Nights</t>
        </is>
      </c>
      <c r="B6" s="5" t="n">
        <v>13</v>
      </c>
    </row>
    <row r="7">
      <c r="A7" s="4" t="inlineStr">
        <is>
          <t>Days (on the ground)</t>
        </is>
      </c>
      <c r="B7" s="5" t="n">
        <v>14</v>
      </c>
    </row>
    <row r="8">
      <c r="A8" s="4" t="inlineStr">
        <is>
          <t>EUR → CAD rate</t>
        </is>
      </c>
      <c r="B8" s="6" t="n">
        <v>1.5</v>
      </c>
    </row>
    <row r="10">
      <c r="A10" s="3" t="inlineStr">
        <is>
          <t>Lodging (booked)</t>
        </is>
      </c>
      <c r="B10" s="7" t="inlineStr">
        <is>
          <t>EUR</t>
        </is>
      </c>
      <c r="C10" s="7" t="inlineStr">
        <is>
          <t>CAD</t>
        </is>
      </c>
    </row>
    <row r="11">
      <c r="A11" s="8" t="inlineStr">
        <is>
          <t>Rome — 3 nights</t>
        </is>
      </c>
      <c r="B11" s="9" t="n">
        <v>855</v>
      </c>
      <c r="C11" s="10">
        <f>B11*$B$8</f>
        <v/>
      </c>
    </row>
    <row r="12">
      <c r="A12" s="8" t="inlineStr">
        <is>
          <t>Castello di Valle, Chianti — 7 nights</t>
        </is>
      </c>
      <c r="B12" s="11" t="n"/>
      <c r="C12" s="12" t="n">
        <v>2380</v>
      </c>
    </row>
    <row r="13">
      <c r="A13" s="8" t="inlineStr">
        <is>
          <t>Venice, Dimora Capuleti — 3 nights</t>
        </is>
      </c>
      <c r="B13" s="9" t="n">
        <v>671</v>
      </c>
      <c r="C13" s="10">
        <f>B13*$B$8</f>
        <v/>
      </c>
    </row>
    <row r="14">
      <c r="A14" s="13" t="inlineStr">
        <is>
          <t>Lodging total</t>
        </is>
      </c>
      <c r="C14" s="14">
        <f>SUM(C11:C13)</f>
        <v/>
      </c>
    </row>
    <row r="16">
      <c r="A16" s="3" t="inlineStr">
        <is>
          <t>Budget — flights excluded</t>
        </is>
      </c>
      <c r="B16" s="7" t="inlineStr">
        <is>
          <t>CAD</t>
        </is>
      </c>
      <c r="C16" s="7" t="inlineStr">
        <is>
          <t>% of total</t>
        </is>
      </c>
    </row>
    <row r="17">
      <c r="A17" s="8" t="inlineStr">
        <is>
          <t>Lodging</t>
        </is>
      </c>
      <c r="B17" s="10">
        <f>C14</f>
        <v/>
      </c>
      <c r="C17" s="15">
        <f>B17/$B$23</f>
        <v/>
      </c>
    </row>
    <row r="18">
      <c r="A18" s="8" t="inlineStr">
        <is>
          <t>Dining</t>
        </is>
      </c>
      <c r="B18" s="12" t="n">
        <v>1300</v>
      </c>
      <c r="C18" s="15">
        <f>B18/$B$23</f>
        <v/>
      </c>
    </row>
    <row r="19">
      <c r="A19" s="8" t="inlineStr">
        <is>
          <t>Local transport</t>
        </is>
      </c>
      <c r="B19" s="12" t="n">
        <v>700</v>
      </c>
      <c r="C19" s="15">
        <f>B19/$B$23</f>
        <v/>
      </c>
    </row>
    <row r="20">
      <c r="A20" s="8" t="inlineStr">
        <is>
          <t>Sights &amp; activities</t>
        </is>
      </c>
      <c r="B20" s="12" t="n">
        <v>500</v>
      </c>
      <c r="C20" s="15">
        <f>B20/$B$23</f>
        <v/>
      </c>
    </row>
    <row r="21">
      <c r="A21" s="8" t="inlineStr">
        <is>
          <t>Miscellaneous (insurance, souvenirs, buffer)</t>
        </is>
      </c>
      <c r="B21" s="12" t="n">
        <v>330</v>
      </c>
      <c r="C21" s="15">
        <f>B21/$B$23</f>
        <v/>
      </c>
    </row>
    <row r="23">
      <c r="A23" s="16" t="inlineStr">
        <is>
          <t>Total — flights excluded</t>
        </is>
      </c>
      <c r="B23" s="17">
        <f>SUM(B17:B21)</f>
        <v/>
      </c>
      <c r="C23" s="18">
        <f>B23/$B$23</f>
        <v/>
      </c>
    </row>
    <row r="25">
      <c r="A25" s="3" t="inlineStr">
        <is>
          <t>Key figures</t>
        </is>
      </c>
    </row>
    <row r="26">
      <c r="A26" s="4" t="inlineStr">
        <is>
          <t>Per person</t>
        </is>
      </c>
      <c r="B26" s="19">
        <f>B23/$B$5</f>
        <v/>
      </c>
    </row>
    <row r="27">
      <c r="A27" s="4" t="inlineStr">
        <is>
          <t>Per day (couple)</t>
        </is>
      </c>
      <c r="B27" s="19">
        <f>B23/$B$7</f>
        <v/>
      </c>
    </row>
    <row r="28">
      <c r="A28" s="4" t="inlineStr">
        <is>
          <t>Lodging booked</t>
        </is>
      </c>
      <c r="B28" s="19">
        <f>C14</f>
        <v/>
      </c>
    </row>
    <row r="29">
      <c r="A29" s="4" t="inlineStr">
        <is>
          <t>Left to spend (discretionary)</t>
        </is>
      </c>
      <c r="B29" s="19">
        <f>B23-C14</f>
        <v/>
      </c>
    </row>
    <row r="31">
      <c r="A31" s="4" t="inlineStr">
        <is>
          <t>Flights (booked, excluded from target)</t>
        </is>
      </c>
      <c r="B31" s="20" t="n">
        <v>3100</v>
      </c>
    </row>
    <row r="32">
      <c r="A32" s="13" t="inlineStr">
        <is>
          <t>Grand total incl. flights</t>
        </is>
      </c>
      <c r="B32" s="14">
        <f>B23+B31</f>
        <v/>
      </c>
    </row>
    <row r="34">
      <c r="A34" s="3" t="inlineStr">
        <is>
          <t>Legend</t>
        </is>
      </c>
    </row>
    <row r="35">
      <c r="A35" s="21" t="inlineStr">
        <is>
          <t>Blue = editable input   ·   Black = formula   ·   Yellow = key assumption</t>
        </is>
      </c>
    </row>
    <row r="36">
      <c r="A36" s="21" t="inlineStr">
        <is>
          <t>Rome &amp; Venice lodging entered in EUR and converted at the EUR→CAD rate (B8). Chianti entered directly in CAD (estimate).</t>
        </is>
      </c>
    </row>
    <row r="37">
      <c r="A37" s="21" t="inlineStr">
        <is>
          <t>Flights are booked and shown for reference only; they are excluded from the $7,500 target.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2026-07-27T15:58:28Z</dcterms:created>
  <dcterms:modified xsi:type="dcterms:W3CDTF">2026-07-27T15:58:28Z</dcterms:modified>
</cp:coreProperties>
</file>